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Riesgos" sheetId="1" state="visible" r:id="rId1"/>
    <sheet name="Resumen" sheetId="2" state="visible" r:id="rId2"/>
  </sheets>
  <definedNames>
    <definedName name="_xlnm._FilterDatabase" localSheetId="0" hidden="1">'Registro de Riesgos'!$A$4:$X$20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1F1F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ED7D31"/>
        </patternFill>
      </fill>
    </dxf>
    <dxf>
      <font>
        <b val="1"/>
        <color rgb="00000000"/>
      </font>
      <fill>
        <patternFill patternType="solid">
          <fgColor rgb="00FFD966"/>
        </patternFill>
      </fill>
    </dxf>
    <dxf>
      <font>
        <b val="1"/>
        <color rgb="00000000"/>
      </font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RegistroRiesgos" displayName="RegistroRiesgos" ref="A4:X20" headerRowCount="1">
  <autoFilter ref="A4:X20"/>
  <tableColumns count="24">
    <tableColumn id="1" name="ID"/>
    <tableColumn id="2" name="Descripcion del problema"/>
    <tableColumn id="3" name="Riesgo"/>
    <tableColumn id="4" name="Causa raiz"/>
    <tableColumn id="5" name="Fecha de identificacion"/>
    <tableColumn id="6" name="Tipo de riesgo"/>
    <tableColumn id="7" name="Categoria del riesgo"/>
    <tableColumn id="8" name="Objetivo del proyecto afectado"/>
    <tableColumn id="9" name="Tipo de impacto"/>
    <tableColumn id="10" name="Probabilidad"/>
    <tableColumn id="11" name="Impacto Alcance"/>
    <tableColumn id="12" name="Impacto Tiempo"/>
    <tableColumn id="13" name="Impacto Costo"/>
    <tableColumn id="14" name="Impacto Calidad"/>
    <tableColumn id="15" name="Valoracion global del riesgo"/>
    <tableColumn id="16" name="Prioridad"/>
    <tableColumn id="17" name="Dueno (Owner)"/>
    <tableColumn id="18" name="Responsable"/>
    <tableColumn id="19" name="Plan de respuesta predeterminado"/>
    <tableColumn id="20" name="Estrategia de respuesta adoptada"/>
    <tableColumn id="21" name="Plan de respuesta adoptado"/>
    <tableColumn id="22" name="Riesgo residual / secundario"/>
    <tableColumn id="23" name="Riesgo activado?"/>
    <tableColumn id="24" name="Fecha de acti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38" customWidth="1" min="4" max="4"/>
    <col width="16" customWidth="1" min="5" max="5"/>
    <col width="16" customWidth="1" min="6" max="6"/>
    <col width="24" customWidth="1" min="7" max="7"/>
    <col width="34" customWidth="1" min="8" max="8"/>
    <col width="14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2" customWidth="1" min="16" max="16"/>
    <col width="20" customWidth="1" min="17" max="17"/>
    <col width="28" customWidth="1" min="18" max="18"/>
    <col width="30" customWidth="1" min="19" max="19"/>
    <col width="22" customWidth="1" min="20" max="20"/>
    <col width="48" customWidth="1" min="21" max="21"/>
    <col width="34" customWidth="1" min="22" max="22"/>
    <col width="14" customWidth="1" min="23" max="23"/>
    <col width="16" customWidth="1" min="24" max="24"/>
  </cols>
  <sheetData>
    <row r="1" ht="24" customHeight="1">
      <c r="A1" s="1" t="inlineStr">
        <is>
          <t>Gestion de Riesgos - Migracion y modernizacion de un Core Bancario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2" customHeight="1">
      <c r="A2" s="3" t="inlineStr">
        <is>
          <t>Banco regional | 500,000 clientes activos | Inactividad maxima permitida: 30 minutos | Plazo: 8 meses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34" customHeight="1">
      <c r="A4" s="4" t="inlineStr">
        <is>
          <t>ID</t>
        </is>
      </c>
      <c r="B4" s="4" t="inlineStr">
        <is>
          <t>Descripcion del problema</t>
        </is>
      </c>
      <c r="C4" s="4" t="inlineStr">
        <is>
          <t>Riesgo</t>
        </is>
      </c>
      <c r="D4" s="4" t="inlineStr">
        <is>
          <t>Causa raiz</t>
        </is>
      </c>
      <c r="E4" s="4" t="inlineStr">
        <is>
          <t>Fecha de identificacion</t>
        </is>
      </c>
      <c r="F4" s="4" t="inlineStr">
        <is>
          <t>Tipo de riesgo</t>
        </is>
      </c>
      <c r="G4" s="4" t="inlineStr">
        <is>
          <t>Categoria del riesgo</t>
        </is>
      </c>
      <c r="H4" s="4" t="inlineStr">
        <is>
          <t>Objetivo del proyecto afectado</t>
        </is>
      </c>
      <c r="I4" s="4" t="inlineStr">
        <is>
          <t>Tipo de impacto</t>
        </is>
      </c>
      <c r="J4" s="4" t="inlineStr">
        <is>
          <t>Probabilidad</t>
        </is>
      </c>
      <c r="K4" s="4" t="inlineStr">
        <is>
          <t>Impacto Alcance</t>
        </is>
      </c>
      <c r="L4" s="4" t="inlineStr">
        <is>
          <t>Impacto Tiempo</t>
        </is>
      </c>
      <c r="M4" s="4" t="inlineStr">
        <is>
          <t>Impacto Costo</t>
        </is>
      </c>
      <c r="N4" s="4" t="inlineStr">
        <is>
          <t>Impacto Calidad</t>
        </is>
      </c>
      <c r="O4" s="4" t="inlineStr">
        <is>
          <t>Valoracion global del riesgo</t>
        </is>
      </c>
      <c r="P4" s="4" t="inlineStr">
        <is>
          <t>Prioridad</t>
        </is>
      </c>
      <c r="Q4" s="4" t="inlineStr">
        <is>
          <t>Dueno (Owner)</t>
        </is>
      </c>
      <c r="R4" s="4" t="inlineStr">
        <is>
          <t>Responsable</t>
        </is>
      </c>
      <c r="S4" s="4" t="inlineStr">
        <is>
          <t>Plan de respuesta predeterminado</t>
        </is>
      </c>
      <c r="T4" s="4" t="inlineStr">
        <is>
          <t>Estrategia de respuesta adoptada</t>
        </is>
      </c>
      <c r="U4" s="4" t="inlineStr">
        <is>
          <t>Plan de respuesta adoptado</t>
        </is>
      </c>
      <c r="V4" s="4" t="inlineStr">
        <is>
          <t>Riesgo residual / secundario</t>
        </is>
      </c>
      <c r="W4" s="4" t="inlineStr">
        <is>
          <t>Riesgo activado?</t>
        </is>
      </c>
      <c r="X4" s="4" t="inlineStr">
        <is>
          <t>Fecha de activacion</t>
        </is>
      </c>
    </row>
    <row r="5">
      <c r="A5" s="5" t="inlineStr">
        <is>
          <t>R1</t>
        </is>
      </c>
      <c r="B5" s="5" t="inlineStr">
        <is>
          <t>Migracion del core en una ventana limitada de corte</t>
        </is>
      </c>
      <c r="C5" s="5" t="inlineStr">
        <is>
          <t>Interrupcion del servicio superior a 30 minutos durante el cutover</t>
        </is>
      </c>
      <c r="D5" s="5" t="inlineStr">
        <is>
          <t>Planificacion deficiente, scripts no probados y tiempos reales subestimados</t>
        </is>
      </c>
      <c r="E5" s="5" t="inlineStr">
        <is>
          <t>2026-05-09</t>
        </is>
      </c>
      <c r="F5" s="5" t="inlineStr">
        <is>
          <t>Amenaza</t>
        </is>
      </c>
      <c r="G5" s="5" t="inlineStr">
        <is>
          <t>Tecnico / Operacional</t>
        </is>
      </c>
      <c r="H5" s="5" t="inlineStr">
        <is>
          <t>Continuidad operativa y disponibilidad</t>
        </is>
      </c>
      <c r="I5" s="5" t="inlineStr">
        <is>
          <t>Directo</t>
        </is>
      </c>
      <c r="J5" s="6" t="n">
        <v>4</v>
      </c>
      <c r="K5" s="6" t="n">
        <v>4</v>
      </c>
      <c r="L5" s="6" t="n">
        <v>5</v>
      </c>
      <c r="M5" s="6" t="n">
        <v>4</v>
      </c>
      <c r="N5" s="6" t="n">
        <v>5</v>
      </c>
      <c r="O5" s="6">
        <f>J5*MAX(K5:N5)</f>
        <v/>
      </c>
      <c r="P5" s="7">
        <f>IF(O5&gt;=16,"Critica",IF(O5&gt;=12,"Alta",IF(O5&gt;=6,"Media","Baja")))</f>
        <v/>
      </c>
      <c r="Q5" s="5" t="inlineStr">
        <is>
          <t>Lider de Migracion</t>
        </is>
      </c>
      <c r="R5" s="5" t="inlineStr">
        <is>
          <t>Operaciones + Infraestructura</t>
        </is>
      </c>
      <c r="S5" s="5" t="inlineStr">
        <is>
          <t>Preparar plan detallado de cutover y rollback</t>
        </is>
      </c>
      <c r="T5" s="5" t="inlineStr">
        <is>
          <t>Mitigar</t>
        </is>
      </c>
      <c r="U5" s="5" t="inlineStr">
        <is>
          <t>Ejecutar simulacros completos, estrategia blue-green, checklist minuto a minuto y ventana de baja demanda</t>
        </is>
      </c>
      <c r="V5" s="5" t="inlineStr">
        <is>
          <t>Retraso menor en algunos servicios no criticos</t>
        </is>
      </c>
      <c r="W5" s="5" t="inlineStr">
        <is>
          <t>No</t>
        </is>
      </c>
      <c r="X5" s="5" t="inlineStr"/>
    </row>
    <row r="6">
      <c r="A6" s="5" t="inlineStr">
        <is>
          <t>R2</t>
        </is>
      </c>
      <c r="B6" s="5" t="inlineStr">
        <is>
          <t>Conversion y traslado de datos bancarios historicos y vigentes</t>
        </is>
      </c>
      <c r="C6" s="5" t="inlineStr">
        <is>
          <t>Perdida, corrupcion o inconsistencia de datos</t>
        </is>
      </c>
      <c r="D6" s="5" t="inlineStr">
        <is>
          <t>Mapeo incorrecto, ETL defectuoso y conciliacion insuficiente</t>
        </is>
      </c>
      <c r="E6" s="5" t="inlineStr">
        <is>
          <t>2026-05-09</t>
        </is>
      </c>
      <c r="F6" s="5" t="inlineStr">
        <is>
          <t>Amenaza</t>
        </is>
      </c>
      <c r="G6" s="5" t="inlineStr">
        <is>
          <t>Datos</t>
        </is>
      </c>
      <c r="H6" s="5" t="inlineStr">
        <is>
          <t>Integridad de datos y calidad del servicio</t>
        </is>
      </c>
      <c r="I6" s="5" t="inlineStr">
        <is>
          <t>Directo</t>
        </is>
      </c>
      <c r="J6" s="6" t="n">
        <v>3</v>
      </c>
      <c r="K6" s="6" t="n">
        <v>5</v>
      </c>
      <c r="L6" s="6" t="n">
        <v>4</v>
      </c>
      <c r="M6" s="6" t="n">
        <v>4</v>
      </c>
      <c r="N6" s="6" t="n">
        <v>5</v>
      </c>
      <c r="O6" s="6">
        <f>J6*MAX(K6:N6)</f>
        <v/>
      </c>
      <c r="P6" s="7">
        <f>IF(O6&gt;=16,"Critica",IF(O6&gt;=12,"Alta",IF(O6&gt;=6,"Media","Baja")))</f>
        <v/>
      </c>
      <c r="Q6" s="5" t="inlineStr">
        <is>
          <t>Arquitecto de Datos</t>
        </is>
      </c>
      <c r="R6" s="5" t="inlineStr">
        <is>
          <t>Equipo de Datos / DBA</t>
        </is>
      </c>
      <c r="S6" s="5" t="inlineStr">
        <is>
          <t>Respaldos completos y validacion de integridad</t>
        </is>
      </c>
      <c r="T6" s="5" t="inlineStr">
        <is>
          <t>Mitigar</t>
        </is>
      </c>
      <c r="U6" s="5" t="inlineStr">
        <is>
          <t>Migracion piloto, conciliacion cuenta a cuenta, doble validacion de saldos y hash de integridad</t>
        </is>
      </c>
      <c r="V6" s="5" t="inlineStr">
        <is>
          <t>Diferencias menores en datos no criticos</t>
        </is>
      </c>
      <c r="W6" s="5" t="inlineStr">
        <is>
          <t>No</t>
        </is>
      </c>
      <c r="X6" s="5" t="inlineStr"/>
    </row>
    <row r="7">
      <c r="A7" s="5" t="inlineStr">
        <is>
          <t>R3</t>
        </is>
      </c>
      <c r="B7" s="5" t="inlineStr">
        <is>
          <t>Adaptacion del sistema a nuevas normas bancarias dentro del plazo</t>
        </is>
      </c>
      <c r="C7" s="5" t="inlineStr">
        <is>
          <t>Incumplimiento regulatorio antes de la fecha limite</t>
        </is>
      </c>
      <c r="D7" s="5" t="inlineStr">
        <is>
          <t>Interpretacion incompleta de requisitos normativos y retrasos en controles</t>
        </is>
      </c>
      <c r="E7" s="5" t="inlineStr">
        <is>
          <t>2026-05-09</t>
        </is>
      </c>
      <c r="F7" s="5" t="inlineStr">
        <is>
          <t>Amenaza</t>
        </is>
      </c>
      <c r="G7" s="5" t="inlineStr">
        <is>
          <t>Regulatorio / Legal</t>
        </is>
      </c>
      <c r="H7" s="5" t="inlineStr">
        <is>
          <t>Cumplimiento y plazo</t>
        </is>
      </c>
      <c r="I7" s="5" t="inlineStr">
        <is>
          <t>Directo</t>
        </is>
      </c>
      <c r="J7" s="6" t="n">
        <v>3</v>
      </c>
      <c r="K7" s="6" t="n">
        <v>4</v>
      </c>
      <c r="L7" s="6" t="n">
        <v>5</v>
      </c>
      <c r="M7" s="6" t="n">
        <v>4</v>
      </c>
      <c r="N7" s="6" t="n">
        <v>5</v>
      </c>
      <c r="O7" s="6">
        <f>J7*MAX(K7:N7)</f>
        <v/>
      </c>
      <c r="P7" s="7">
        <f>IF(O7&gt;=16,"Critica",IF(O7&gt;=12,"Alta",IF(O7&gt;=6,"Media","Baja")))</f>
        <v/>
      </c>
      <c r="Q7" s="5" t="inlineStr">
        <is>
          <t>Oficial de Cumplimiento</t>
        </is>
      </c>
      <c r="R7" s="5" t="inlineStr">
        <is>
          <t>PM + Compliance + Legal</t>
        </is>
      </c>
      <c r="S7" s="5" t="inlineStr">
        <is>
          <t>Revisiones normativas periodicas</t>
        </is>
      </c>
      <c r="T7" s="5" t="inlineStr">
        <is>
          <t>Evitar / Mitigar</t>
        </is>
      </c>
      <c r="U7" s="5" t="inlineStr">
        <is>
          <t>Crear matriz de cumplimiento, validaciones con auditoria, evidencias desde el inicio e hitos regulatorios obligatorios</t>
        </is>
      </c>
      <c r="V7" s="5" t="inlineStr">
        <is>
          <t>Observaciones menores del regulador</t>
        </is>
      </c>
      <c r="W7" s="5" t="inlineStr">
        <is>
          <t>No</t>
        </is>
      </c>
      <c r="X7" s="5" t="inlineStr"/>
    </row>
    <row r="8">
      <c r="A8" s="5" t="inlineStr">
        <is>
          <t>R4</t>
        </is>
      </c>
      <c r="B8" s="5" t="inlineStr">
        <is>
          <t>Nuevo entorno basado en microservicios puede no rendir como se espera</t>
        </is>
      </c>
      <c r="C8" s="5" t="inlineStr">
        <is>
          <t>Bajo desempeno del nuevo core en produccion</t>
        </is>
      </c>
      <c r="D8" s="5" t="inlineStr">
        <is>
          <t>Arquitectura no optimizada, mala configuracion cloud y latencia entre servicios</t>
        </is>
      </c>
      <c r="E8" s="5" t="inlineStr">
        <is>
          <t>2026-05-09</t>
        </is>
      </c>
      <c r="F8" s="5" t="inlineStr">
        <is>
          <t>Amenaza</t>
        </is>
      </c>
      <c r="G8" s="5" t="inlineStr">
        <is>
          <t>Tecnico / Rendimiento</t>
        </is>
      </c>
      <c r="H8" s="5" t="inlineStr">
        <is>
          <t>Disponibilidad y experiencia del cliente</t>
        </is>
      </c>
      <c r="I8" s="5" t="inlineStr">
        <is>
          <t>Directo</t>
        </is>
      </c>
      <c r="J8" s="6" t="n">
        <v>4</v>
      </c>
      <c r="K8" s="6" t="n">
        <v>4</v>
      </c>
      <c r="L8" s="6" t="n">
        <v>4</v>
      </c>
      <c r="M8" s="6" t="n">
        <v>4</v>
      </c>
      <c r="N8" s="6" t="n">
        <v>5</v>
      </c>
      <c r="O8" s="6">
        <f>J8*MAX(K8:N8)</f>
        <v/>
      </c>
      <c r="P8" s="7">
        <f>IF(O8&gt;=16,"Critica",IF(O8&gt;=12,"Alta",IF(O8&gt;=6,"Media","Baja")))</f>
        <v/>
      </c>
      <c r="Q8" s="5" t="inlineStr">
        <is>
          <t>Arquitecto de Solucion</t>
        </is>
      </c>
      <c r="R8" s="5" t="inlineStr">
        <is>
          <t>SRE / DevOps / Arquitectura</t>
        </is>
      </c>
      <c r="S8" s="5" t="inlineStr">
        <is>
          <t>Probar rendimiento antes del go-live</t>
        </is>
      </c>
      <c r="T8" s="5" t="inlineStr">
        <is>
          <t>Mitigar</t>
        </is>
      </c>
      <c r="U8" s="5" t="inlineStr">
        <is>
          <t>Pruebas de carga, estres y picos; ajuste de autoscaling, cache, colas y observabilidad</t>
        </is>
      </c>
      <c r="V8" s="5" t="inlineStr">
        <is>
          <t>Degradacion temporal de modulos secundarios</t>
        </is>
      </c>
      <c r="W8" s="5" t="inlineStr">
        <is>
          <t>No</t>
        </is>
      </c>
      <c r="X8" s="5" t="inlineStr"/>
    </row>
    <row r="9">
      <c r="A9" s="5" t="inlineStr">
        <is>
          <t>R5</t>
        </is>
      </c>
      <c r="B9" s="5" t="inlineStr">
        <is>
          <t>Dependencia de integraciones con ATM, banca movil, pagos y clearing</t>
        </is>
      </c>
      <c r="C9" s="5" t="inlineStr">
        <is>
          <t>Fallas en integraciones con sistemas internos y externos</t>
        </is>
      </c>
      <c r="D9" s="5" t="inlineStr">
        <is>
          <t>APIs incompletas, contratos mal definidos y dependencias legacy</t>
        </is>
      </c>
      <c r="E9" s="5" t="inlineStr">
        <is>
          <t>2026-05-09</t>
        </is>
      </c>
      <c r="F9" s="5" t="inlineStr">
        <is>
          <t>Amenaza</t>
        </is>
      </c>
      <c r="G9" s="5" t="inlineStr">
        <is>
          <t>Integracion</t>
        </is>
      </c>
      <c r="H9" s="5" t="inlineStr">
        <is>
          <t>Operacion bancaria de punta a punta</t>
        </is>
      </c>
      <c r="I9" s="5" t="inlineStr">
        <is>
          <t>Directo</t>
        </is>
      </c>
      <c r="J9" s="6" t="n">
        <v>4</v>
      </c>
      <c r="K9" s="6" t="n">
        <v>4</v>
      </c>
      <c r="L9" s="6" t="n">
        <v>4</v>
      </c>
      <c r="M9" s="6" t="n">
        <v>3</v>
      </c>
      <c r="N9" s="6" t="n">
        <v>5</v>
      </c>
      <c r="O9" s="6">
        <f>J9*MAX(K9:N9)</f>
        <v/>
      </c>
      <c r="P9" s="7">
        <f>IF(O9&gt;=16,"Critica",IF(O9&gt;=12,"Alta",IF(O9&gt;=6,"Media","Baja")))</f>
        <v/>
      </c>
      <c r="Q9" s="5" t="inlineStr">
        <is>
          <t>Lider de Integraciones</t>
        </is>
      </c>
      <c r="R9" s="5" t="inlineStr">
        <is>
          <t>Equipos de Canales / Middleware</t>
        </is>
      </c>
      <c r="S9" s="5" t="inlineStr">
        <is>
          <t>Inventario y pruebas de interfaces</t>
        </is>
      </c>
      <c r="T9" s="5" t="inlineStr">
        <is>
          <t>Mitigar</t>
        </is>
      </c>
      <c r="U9" s="5" t="inlineStr">
        <is>
          <t>Contract testing, pruebas E2E, mocks certificados, transicion por canal y fallback con legado</t>
        </is>
      </c>
      <c r="V9" s="5" t="inlineStr">
        <is>
          <t>Fallas parciales en canales de baja transaccionalidad</t>
        </is>
      </c>
      <c r="W9" s="5" t="inlineStr">
        <is>
          <t>No</t>
        </is>
      </c>
      <c r="X9" s="5" t="inlineStr"/>
    </row>
    <row r="10">
      <c r="A10" s="5" t="inlineStr">
        <is>
          <t>R6</t>
        </is>
      </c>
      <c r="B10" s="5" t="inlineStr">
        <is>
          <t>Nueva infraestructura cloud expuesta a amenazas de seguridad</t>
        </is>
      </c>
      <c r="C10" s="5" t="inlineStr">
        <is>
          <t>Vulnerabilidades o brechas de ciberseguridad</t>
        </is>
      </c>
      <c r="D10" s="5" t="inlineStr">
        <is>
          <t>Configuracion insegura, exceso de permisos y secretos mal gestionados</t>
        </is>
      </c>
      <c r="E10" s="5" t="inlineStr">
        <is>
          <t>2026-05-09</t>
        </is>
      </c>
      <c r="F10" s="5" t="inlineStr">
        <is>
          <t>Amenaza</t>
        </is>
      </c>
      <c r="G10" s="5" t="inlineStr">
        <is>
          <t>Seguridad</t>
        </is>
      </c>
      <c r="H10" s="5" t="inlineStr">
        <is>
          <t>Confidencialidad, integridad y cumplimiento</t>
        </is>
      </c>
      <c r="I10" s="5" t="inlineStr">
        <is>
          <t>Directo</t>
        </is>
      </c>
      <c r="J10" s="6" t="n">
        <v>3</v>
      </c>
      <c r="K10" s="6" t="n">
        <v>4</v>
      </c>
      <c r="L10" s="6" t="n">
        <v>4</v>
      </c>
      <c r="M10" s="6" t="n">
        <v>5</v>
      </c>
      <c r="N10" s="6" t="n">
        <v>5</v>
      </c>
      <c r="O10" s="6">
        <f>J10*MAX(K10:N10)</f>
        <v/>
      </c>
      <c r="P10" s="7">
        <f>IF(O10&gt;=16,"Critica",IF(O10&gt;=12,"Alta",IF(O10&gt;=6,"Media","Baja")))</f>
        <v/>
      </c>
      <c r="Q10" s="5" t="inlineStr">
        <is>
          <t>CISO</t>
        </is>
      </c>
      <c r="R10" s="5" t="inlineStr">
        <is>
          <t>Seguridad + Cloud Team</t>
        </is>
      </c>
      <c r="S10" s="5" t="inlineStr">
        <is>
          <t>Aplicar controles de seguridad desde el diseno</t>
        </is>
      </c>
      <c r="T10" s="5" t="inlineStr">
        <is>
          <t>Mitigar</t>
        </is>
      </c>
      <c r="U10" s="5" t="inlineStr">
        <is>
          <t>IAM de minimo privilegio, cifrado, vault de secretos, SAST/DAST, pentest y monitoreo SIEM</t>
        </is>
      </c>
      <c r="V10" s="5" t="inlineStr">
        <is>
          <t>Riesgo residual de amenazas avanzadas persistentes</t>
        </is>
      </c>
      <c r="W10" s="5" t="inlineStr">
        <is>
          <t>No</t>
        </is>
      </c>
      <c r="X10" s="5" t="inlineStr"/>
    </row>
    <row r="11">
      <c r="A11" s="5" t="inlineStr">
        <is>
          <t>R7</t>
        </is>
      </c>
      <c r="B11" s="5" t="inlineStr">
        <is>
          <t>El alcance tecnico del proyecto puede superar la capacidad del plazo</t>
        </is>
      </c>
      <c r="C11" s="5" t="inlineStr">
        <is>
          <t>Retraso del cronograma por complejidad no prevista</t>
        </is>
      </c>
      <c r="D11" s="5" t="inlineStr">
        <is>
          <t>Deuda tecnica legacy, dependencias ocultas y estimaciones optimistas</t>
        </is>
      </c>
      <c r="E11" s="5" t="inlineStr">
        <is>
          <t>2026-05-09</t>
        </is>
      </c>
      <c r="F11" s="5" t="inlineStr">
        <is>
          <t>Amenaza</t>
        </is>
      </c>
      <c r="G11" s="5" t="inlineStr">
        <is>
          <t>Gestion / Cronograma</t>
        </is>
      </c>
      <c r="H11" s="5" t="inlineStr">
        <is>
          <t>Plazo y cumplimiento regulatorio</t>
        </is>
      </c>
      <c r="I11" s="5" t="inlineStr">
        <is>
          <t>Directo</t>
        </is>
      </c>
      <c r="J11" s="6" t="n">
        <v>4</v>
      </c>
      <c r="K11" s="6" t="n">
        <v>4</v>
      </c>
      <c r="L11" s="6" t="n">
        <v>5</v>
      </c>
      <c r="M11" s="6" t="n">
        <v>4</v>
      </c>
      <c r="N11" s="6" t="n">
        <v>4</v>
      </c>
      <c r="O11" s="6">
        <f>J11*MAX(K11:N11)</f>
        <v/>
      </c>
      <c r="P11" s="7">
        <f>IF(O11&gt;=16,"Critica",IF(O11&gt;=12,"Alta",IF(O11&gt;=6,"Media","Baja")))</f>
        <v/>
      </c>
      <c r="Q11" s="5" t="inlineStr">
        <is>
          <t>Project Manager</t>
        </is>
      </c>
      <c r="R11" s="5" t="inlineStr">
        <is>
          <t>PMO + Arquitectura + Lideres Tecnicos</t>
        </is>
      </c>
      <c r="S11" s="5" t="inlineStr">
        <is>
          <t>Seguimiento estricto del camino critico</t>
        </is>
      </c>
      <c r="T11" s="5" t="inlineStr">
        <is>
          <t>Mitigar</t>
        </is>
      </c>
      <c r="U11" s="5" t="inlineStr">
        <is>
          <t>Replanificar por olas, priorizar funciones regulatorias, buffers tecnicos y revision semanal de hitos</t>
        </is>
      </c>
      <c r="V11" s="5" t="inlineStr">
        <is>
          <t>Recorte de funcionalidades no esenciales</t>
        </is>
      </c>
      <c r="W11" s="5" t="inlineStr">
        <is>
          <t>No</t>
        </is>
      </c>
      <c r="X11" s="5" t="inlineStr"/>
    </row>
    <row r="12">
      <c r="A12" s="5" t="inlineStr">
        <is>
          <t>R8</t>
        </is>
      </c>
      <c r="B12" s="5" t="inlineStr">
        <is>
          <t>El equipo actual puede no dominar cloud y microservicios</t>
        </is>
      </c>
      <c r="C12" s="5" t="inlineStr">
        <is>
          <t>Falta de experiencia tecnica del equipo</t>
        </is>
      </c>
      <c r="D12" s="5" t="inlineStr">
        <is>
          <t>Conocimiento centrado en sistemas on-premise y monoliticos</t>
        </is>
      </c>
      <c r="E12" s="5" t="inlineStr">
        <is>
          <t>2026-05-09</t>
        </is>
      </c>
      <c r="F12" s="5" t="inlineStr">
        <is>
          <t>Amenaza</t>
        </is>
      </c>
      <c r="G12" s="5" t="inlineStr">
        <is>
          <t>Recursos Humanos / Tecnico</t>
        </is>
      </c>
      <c r="H12" s="5" t="inlineStr">
        <is>
          <t>Calidad tecnica y cronograma</t>
        </is>
      </c>
      <c r="I12" s="5" t="inlineStr">
        <is>
          <t>Indirecto</t>
        </is>
      </c>
      <c r="J12" s="6" t="n">
        <v>3</v>
      </c>
      <c r="K12" s="6" t="n">
        <v>3</v>
      </c>
      <c r="L12" s="6" t="n">
        <v>4</v>
      </c>
      <c r="M12" s="6" t="n">
        <v>3</v>
      </c>
      <c r="N12" s="6" t="n">
        <v>4</v>
      </c>
      <c r="O12" s="6">
        <f>J12*MAX(K12:N12)</f>
        <v/>
      </c>
      <c r="P12" s="7">
        <f>IF(O12&gt;=16,"Critica",IF(O12&gt;=12,"Alta",IF(O12&gt;=6,"Media","Baja")))</f>
        <v/>
      </c>
      <c r="Q12" s="5" t="inlineStr">
        <is>
          <t>Gerente del Proyecto</t>
        </is>
      </c>
      <c r="R12" s="5" t="inlineStr">
        <is>
          <t>RRHH + Arquitectura + Lider Tecnico</t>
        </is>
      </c>
      <c r="S12" s="5" t="inlineStr">
        <is>
          <t>Formacion temprana del equipo</t>
        </is>
      </c>
      <c r="T12" s="5" t="inlineStr">
        <is>
          <t>Mitigar</t>
        </is>
      </c>
      <c r="U12" s="5" t="inlineStr">
        <is>
          <t>Capacitacion intensiva, coaching, acompanamiento externo y revisiones de arquitectura</t>
        </is>
      </c>
      <c r="V12" s="5" t="inlineStr">
        <is>
          <t>Curva de aprendizaje mas prolongada de lo esperado</t>
        </is>
      </c>
      <c r="W12" s="5" t="inlineStr">
        <is>
          <t>No</t>
        </is>
      </c>
      <c r="X12" s="5" t="inlineStr"/>
    </row>
    <row r="13">
      <c r="A13" s="5" t="inlineStr">
        <is>
          <t>R9</t>
        </is>
      </c>
      <c r="B13" s="5" t="inlineStr">
        <is>
          <t>En caso de falla, el retorno al sistema anterior puede no ser viable</t>
        </is>
      </c>
      <c r="C13" s="5" t="inlineStr">
        <is>
          <t>Fallo del plan de rollback</t>
        </is>
      </c>
      <c r="D13" s="5" t="inlineStr">
        <is>
          <t>Cambios irreversibles, datos ya transformados y rollback no ensayado</t>
        </is>
      </c>
      <c r="E13" s="5" t="inlineStr">
        <is>
          <t>2026-05-09</t>
        </is>
      </c>
      <c r="F13" s="5" t="inlineStr">
        <is>
          <t>Amenaza</t>
        </is>
      </c>
      <c r="G13" s="5" t="inlineStr">
        <is>
          <t>Operacional / Continuidad</t>
        </is>
      </c>
      <c r="H13" s="5" t="inlineStr">
        <is>
          <t>Continuidad y disponibilidad</t>
        </is>
      </c>
      <c r="I13" s="5" t="inlineStr">
        <is>
          <t>Directo</t>
        </is>
      </c>
      <c r="J13" s="6" t="n">
        <v>3</v>
      </c>
      <c r="K13" s="6" t="n">
        <v>4</v>
      </c>
      <c r="L13" s="6" t="n">
        <v>5</v>
      </c>
      <c r="M13" s="6" t="n">
        <v>4</v>
      </c>
      <c r="N13" s="6" t="n">
        <v>5</v>
      </c>
      <c r="O13" s="6">
        <f>J13*MAX(K13:N13)</f>
        <v/>
      </c>
      <c r="P13" s="7">
        <f>IF(O13&gt;=16,"Critica",IF(O13&gt;=12,"Alta",IF(O13&gt;=6,"Media","Baja")))</f>
        <v/>
      </c>
      <c r="Q13" s="5" t="inlineStr">
        <is>
          <t>Lider de Migracion</t>
        </is>
      </c>
      <c r="R13" s="5" t="inlineStr">
        <is>
          <t>Infraestructura + DBA + Operaciones</t>
        </is>
      </c>
      <c r="S13" s="5" t="inlineStr">
        <is>
          <t>Disenar reversa desde el inicio</t>
        </is>
      </c>
      <c r="T13" s="5" t="inlineStr">
        <is>
          <t>Mitigar</t>
        </is>
      </c>
      <c r="U13" s="5" t="inlineStr">
        <is>
          <t>Definir criterios de abort, backup consistente, rollback ensayado y scripts reversibles</t>
        </is>
      </c>
      <c r="V13" s="5" t="inlineStr">
        <is>
          <t>Recuperacion mas lenta que la prevista</t>
        </is>
      </c>
      <c r="W13" s="5" t="inlineStr">
        <is>
          <t>No</t>
        </is>
      </c>
      <c r="X13" s="5" t="inlineStr"/>
    </row>
    <row r="14">
      <c r="A14" s="5" t="inlineStr">
        <is>
          <t>R10</t>
        </is>
      </c>
      <c r="B14" s="5" t="inlineStr">
        <is>
          <t>Cambios en procesos y herramientas pueden generar resistencia interna</t>
        </is>
      </c>
      <c r="C14" s="5" t="inlineStr">
        <is>
          <t>Resistencia al cambio de usuarios y areas operativas</t>
        </is>
      </c>
      <c r="D14" s="5" t="inlineStr">
        <is>
          <t>Comunicacion insuficiente, temor al cambio y poca capacitacion</t>
        </is>
      </c>
      <c r="E14" s="5" t="inlineStr">
        <is>
          <t>2026-05-09</t>
        </is>
      </c>
      <c r="F14" s="5" t="inlineStr">
        <is>
          <t>Amenaza</t>
        </is>
      </c>
      <c r="G14" s="5" t="inlineStr">
        <is>
          <t>Organizacional</t>
        </is>
      </c>
      <c r="H14" s="5" t="inlineStr">
        <is>
          <t>Adopcion y operacion estable</t>
        </is>
      </c>
      <c r="I14" s="5" t="inlineStr">
        <is>
          <t>Indirecto</t>
        </is>
      </c>
      <c r="J14" s="6" t="n">
        <v>3</v>
      </c>
      <c r="K14" s="6" t="n">
        <v>3</v>
      </c>
      <c r="L14" s="6" t="n">
        <v>3</v>
      </c>
      <c r="M14" s="6" t="n">
        <v>2</v>
      </c>
      <c r="N14" s="6" t="n">
        <v>4</v>
      </c>
      <c r="O14" s="6">
        <f>J14*MAX(K14:N14)</f>
        <v/>
      </c>
      <c r="P14" s="7">
        <f>IF(O14&gt;=16,"Critica",IF(O14&gt;=12,"Alta",IF(O14&gt;=6,"Media","Baja")))</f>
        <v/>
      </c>
      <c r="Q14" s="5" t="inlineStr">
        <is>
          <t>Lider de Cambio</t>
        </is>
      </c>
      <c r="R14" s="5" t="inlineStr">
        <is>
          <t>RRHH + Operaciones + PM</t>
        </is>
      </c>
      <c r="S14" s="5" t="inlineStr">
        <is>
          <t>Plan de cambio organizacional</t>
        </is>
      </c>
      <c r="T14" s="5" t="inlineStr">
        <is>
          <t>Mitigar</t>
        </is>
      </c>
      <c r="U14" s="5" t="inlineStr">
        <is>
          <t>Comunicacion por fases, capacitaciones, manuales y soporte reforzado durante salida en vivo</t>
        </is>
      </c>
      <c r="V14" s="5" t="inlineStr">
        <is>
          <t>Mayor volumen de incidencias de usuario</t>
        </is>
      </c>
      <c r="W14" s="5" t="inlineStr">
        <is>
          <t>No</t>
        </is>
      </c>
      <c r="X14" s="5" t="inlineStr"/>
    </row>
    <row r="15">
      <c r="A15" s="5" t="inlineStr">
        <is>
          <t>R11</t>
        </is>
      </c>
      <c r="B15" s="5" t="inlineStr">
        <is>
          <t>El uso de servicios cloud puede elevar el gasto operacional</t>
        </is>
      </c>
      <c r="C15" s="5" t="inlineStr">
        <is>
          <t>Costos de nube superiores al presupuesto</t>
        </is>
      </c>
      <c r="D15" s="5" t="inlineStr">
        <is>
          <t>Sobredimensionamiento, mala optimizacion y consumo no controlado</t>
        </is>
      </c>
      <c r="E15" s="5" t="inlineStr">
        <is>
          <t>2026-05-09</t>
        </is>
      </c>
      <c r="F15" s="5" t="inlineStr">
        <is>
          <t>Amenaza</t>
        </is>
      </c>
      <c r="G15" s="5" t="inlineStr">
        <is>
          <t>Financiero</t>
        </is>
      </c>
      <c r="H15" s="5" t="inlineStr">
        <is>
          <t>Presupuesto</t>
        </is>
      </c>
      <c r="I15" s="5" t="inlineStr">
        <is>
          <t>Indirecto</t>
        </is>
      </c>
      <c r="J15" s="6" t="n">
        <v>3</v>
      </c>
      <c r="K15" s="6" t="n">
        <v>2</v>
      </c>
      <c r="L15" s="6" t="n">
        <v>3</v>
      </c>
      <c r="M15" s="6" t="n">
        <v>5</v>
      </c>
      <c r="N15" s="6" t="n">
        <v>3</v>
      </c>
      <c r="O15" s="6">
        <f>J15*MAX(K15:N15)</f>
        <v/>
      </c>
      <c r="P15" s="7">
        <f>IF(O15&gt;=16,"Critica",IF(O15&gt;=12,"Alta",IF(O15&gt;=6,"Media","Baja")))</f>
        <v/>
      </c>
      <c r="Q15" s="5" t="inlineStr">
        <is>
          <t>Cloud Lead</t>
        </is>
      </c>
      <c r="R15" s="5" t="inlineStr">
        <is>
          <t>Finanzas TI + DevOps</t>
        </is>
      </c>
      <c r="S15" s="5" t="inlineStr">
        <is>
          <t>Controles de costo desde el inicio</t>
        </is>
      </c>
      <c r="T15" s="5" t="inlineStr">
        <is>
          <t>Mitigar</t>
        </is>
      </c>
      <c r="U15" s="5" t="inlineStr">
        <is>
          <t>FinOps, etiquetado, alarmas de consumo, rightsizing y revision mensual de gasto</t>
        </is>
      </c>
      <c r="V15" s="5" t="inlineStr">
        <is>
          <t>Ajustes presupuestarios adicionales</t>
        </is>
      </c>
      <c r="W15" s="5" t="inlineStr">
        <is>
          <t>No</t>
        </is>
      </c>
      <c r="X15" s="5" t="inlineStr"/>
    </row>
    <row r="16">
      <c r="A16" s="5" t="inlineStr">
        <is>
          <t>R12</t>
        </is>
      </c>
      <c r="B16" s="5" t="inlineStr">
        <is>
          <t>Dependencia tecnologica fuerte de proveedor cloud y terceros</t>
        </is>
      </c>
      <c r="C16" s="5" t="inlineStr">
        <is>
          <t>Lock-in tecnologico o incumplimiento de terceros</t>
        </is>
      </c>
      <c r="D16" s="5" t="inlineStr">
        <is>
          <t>Uso excesivo de servicios propietarios y SLAs debiles</t>
        </is>
      </c>
      <c r="E16" s="5" t="inlineStr">
        <is>
          <t>2026-05-09</t>
        </is>
      </c>
      <c r="F16" s="5" t="inlineStr">
        <is>
          <t>Amenaza</t>
        </is>
      </c>
      <c r="G16" s="5" t="inlineStr">
        <is>
          <t>Proveedores / Estrategico</t>
        </is>
      </c>
      <c r="H16" s="5" t="inlineStr">
        <is>
          <t>Continuidad, costos y flexibilidad</t>
        </is>
      </c>
      <c r="I16" s="5" t="inlineStr">
        <is>
          <t>Indirecto</t>
        </is>
      </c>
      <c r="J16" s="6" t="n">
        <v>2</v>
      </c>
      <c r="K16" s="6" t="n">
        <v>3</v>
      </c>
      <c r="L16" s="6" t="n">
        <v>3</v>
      </c>
      <c r="M16" s="6" t="n">
        <v>4</v>
      </c>
      <c r="N16" s="6" t="n">
        <v>3</v>
      </c>
      <c r="O16" s="6">
        <f>J16*MAX(K16:N16)</f>
        <v/>
      </c>
      <c r="P16" s="7">
        <f>IF(O16&gt;=16,"Critica",IF(O16&gt;=12,"Alta",IF(O16&gt;=6,"Media","Baja")))</f>
        <v/>
      </c>
      <c r="Q16" s="5" t="inlineStr">
        <is>
          <t>Gerente de Proveedores</t>
        </is>
      </c>
      <c r="R16" s="5" t="inlineStr">
        <is>
          <t>Compras + Arquitectura</t>
        </is>
      </c>
      <c r="S16" s="5" t="inlineStr">
        <is>
          <t>Evaluacion contractual y tecnica de proveedores</t>
        </is>
      </c>
      <c r="T16" s="5" t="inlineStr">
        <is>
          <t>Mitigar / Transferir</t>
        </is>
      </c>
      <c r="U16" s="5" t="inlineStr">
        <is>
          <t>Asegurar SLAs, diseno portable cuando sea posible, multi-zona y plan alternativo</t>
        </is>
      </c>
      <c r="V16" s="5" t="inlineStr">
        <is>
          <t>Dependencia parcial inevitable del proveedor principal</t>
        </is>
      </c>
      <c r="W16" s="5" t="inlineStr">
        <is>
          <t>No</t>
        </is>
      </c>
      <c r="X16" s="5" t="inlineStr"/>
    </row>
    <row r="17">
      <c r="A17" s="5" t="inlineStr">
        <is>
          <t>R13</t>
        </is>
      </c>
      <c r="B17" s="5" t="inlineStr">
        <is>
          <t>Las pruebas podrian no reflejar el comportamiento real de produccion</t>
        </is>
      </c>
      <c r="C17" s="5" t="inlineStr">
        <is>
          <t>Ambientes de prueba no representativos</t>
        </is>
      </c>
      <c r="D17" s="5" t="inlineStr">
        <is>
          <t>Infraestructura reducida, datos sinteticos insuficientes y diferencias topologicas</t>
        </is>
      </c>
      <c r="E17" s="5" t="inlineStr">
        <is>
          <t>2026-05-09</t>
        </is>
      </c>
      <c r="F17" s="5" t="inlineStr">
        <is>
          <t>Amenaza</t>
        </is>
      </c>
      <c r="G17" s="5" t="inlineStr">
        <is>
          <t>Calidad / Tecnico</t>
        </is>
      </c>
      <c r="H17" s="5" t="inlineStr">
        <is>
          <t>Calidad, disponibilidad y cronograma</t>
        </is>
      </c>
      <c r="I17" s="5" t="inlineStr">
        <is>
          <t>Directo</t>
        </is>
      </c>
      <c r="J17" s="6" t="n">
        <v>4</v>
      </c>
      <c r="K17" s="6" t="n">
        <v>4</v>
      </c>
      <c r="L17" s="6" t="n">
        <v>4</v>
      </c>
      <c r="M17" s="6" t="n">
        <v>4</v>
      </c>
      <c r="N17" s="6" t="n">
        <v>5</v>
      </c>
      <c r="O17" s="6">
        <f>J17*MAX(K17:N17)</f>
        <v/>
      </c>
      <c r="P17" s="7">
        <f>IF(O17&gt;=16,"Critica",IF(O17&gt;=12,"Alta",IF(O17&gt;=6,"Media","Baja")))</f>
        <v/>
      </c>
      <c r="Q17" s="5" t="inlineStr">
        <is>
          <t>QA Lead</t>
        </is>
      </c>
      <c r="R17" s="5" t="inlineStr">
        <is>
          <t>QA + Infraestructura + Arquitectura</t>
        </is>
      </c>
      <c r="S17" s="5" t="inlineStr">
        <is>
          <t>Validar paridad con produccion</t>
        </is>
      </c>
      <c r="T17" s="5" t="inlineStr">
        <is>
          <t>Mitigar</t>
        </is>
      </c>
      <c r="U17" s="5" t="inlineStr">
        <is>
          <t>Crear ambiente espejo, anonimizar datos reales, pruebas de volumen y pruebas integrales con topologia similar</t>
        </is>
      </c>
      <c r="V17" s="5" t="inlineStr">
        <is>
          <t>Defectos no detectados en escenarios extremos</t>
        </is>
      </c>
      <c r="W17" s="5" t="inlineStr">
        <is>
          <t>No</t>
        </is>
      </c>
      <c r="X17" s="5" t="inlineStr"/>
    </row>
    <row r="18">
      <c r="A18" s="5" t="inlineStr">
        <is>
          <t>R14</t>
        </is>
      </c>
      <c r="B18" s="5" t="inlineStr">
        <is>
          <t>Microservicios distribuidos dificultan seguimiento de incidentes</t>
        </is>
      </c>
      <c r="C18" s="5" t="inlineStr">
        <is>
          <t>Monitoreo y trazabilidad insuficientes</t>
        </is>
      </c>
      <c r="D18" s="5" t="inlineStr">
        <is>
          <t>Observabilidad no disenada desde el principio</t>
        </is>
      </c>
      <c r="E18" s="5" t="inlineStr">
        <is>
          <t>2026-05-09</t>
        </is>
      </c>
      <c r="F18" s="5" t="inlineStr">
        <is>
          <t>Amenaza</t>
        </is>
      </c>
      <c r="G18" s="5" t="inlineStr">
        <is>
          <t>Operacional / Tecnico</t>
        </is>
      </c>
      <c r="H18" s="5" t="inlineStr">
        <is>
          <t>Soporte, disponibilidad y calidad</t>
        </is>
      </c>
      <c r="I18" s="5" t="inlineStr">
        <is>
          <t>Directo</t>
        </is>
      </c>
      <c r="J18" s="6" t="n">
        <v>3</v>
      </c>
      <c r="K18" s="6" t="n">
        <v>3</v>
      </c>
      <c r="L18" s="6" t="n">
        <v>4</v>
      </c>
      <c r="M18" s="6" t="n">
        <v>3</v>
      </c>
      <c r="N18" s="6" t="n">
        <v>5</v>
      </c>
      <c r="O18" s="6">
        <f>J18*MAX(K18:N18)</f>
        <v/>
      </c>
      <c r="P18" s="7">
        <f>IF(O18&gt;=16,"Critica",IF(O18&gt;=12,"Alta",IF(O18&gt;=6,"Media","Baja")))</f>
        <v/>
      </c>
      <c r="Q18" s="5" t="inlineStr">
        <is>
          <t>SRE Lead</t>
        </is>
      </c>
      <c r="R18" s="5" t="inlineStr">
        <is>
          <t>SRE + DevOps + Desarrollo</t>
        </is>
      </c>
      <c r="S18" s="5" t="inlineStr">
        <is>
          <t>Disenar observabilidad como requisito</t>
        </is>
      </c>
      <c r="T18" s="5" t="inlineStr">
        <is>
          <t>Mitigar</t>
        </is>
      </c>
      <c r="U18" s="5" t="inlineStr">
        <is>
          <t>Logging centralizado, metricas, trazas distribuidas, alertas proactivas y tableros operativos</t>
        </is>
      </c>
      <c r="V18" s="5" t="inlineStr">
        <is>
          <t>Mayor tiempo medio de diagnostico</t>
        </is>
      </c>
      <c r="W18" s="5" t="inlineStr">
        <is>
          <t>No</t>
        </is>
      </c>
      <c r="X18" s="5" t="inlineStr"/>
    </row>
    <row r="19">
      <c r="A19" s="5" t="inlineStr">
        <is>
          <t>R15</t>
        </is>
      </c>
      <c r="B19" s="5" t="inlineStr">
        <is>
          <t>Auditorias internas o externas pueden detectar deficiencias graves</t>
        </is>
      </c>
      <c r="C19" s="5" t="inlineStr">
        <is>
          <t>Hallazgos severos de auditoria</t>
        </is>
      </c>
      <c r="D19" s="5" t="inlineStr">
        <is>
          <t>Evidencias incompletas y controles no documentados</t>
        </is>
      </c>
      <c r="E19" s="5" t="inlineStr">
        <is>
          <t>2026-05-09</t>
        </is>
      </c>
      <c r="F19" s="5" t="inlineStr">
        <is>
          <t>Amenaza</t>
        </is>
      </c>
      <c r="G19" s="5" t="inlineStr">
        <is>
          <t>Auditoria / Cumplimiento</t>
        </is>
      </c>
      <c r="H19" s="5" t="inlineStr">
        <is>
          <t>Cumplimiento y reputacion</t>
        </is>
      </c>
      <c r="I19" s="5" t="inlineStr">
        <is>
          <t>Indirecto</t>
        </is>
      </c>
      <c r="J19" s="6" t="n">
        <v>2</v>
      </c>
      <c r="K19" s="6" t="n">
        <v>3</v>
      </c>
      <c r="L19" s="6" t="n">
        <v>4</v>
      </c>
      <c r="M19" s="6" t="n">
        <v>3</v>
      </c>
      <c r="N19" s="6" t="n">
        <v>5</v>
      </c>
      <c r="O19" s="6">
        <f>J19*MAX(K19:N19)</f>
        <v/>
      </c>
      <c r="P19" s="7">
        <f>IF(O19&gt;=16,"Critica",IF(O19&gt;=12,"Alta",IF(O19&gt;=6,"Media","Baja")))</f>
        <v/>
      </c>
      <c r="Q19" s="5" t="inlineStr">
        <is>
          <t>Auditoria Interna</t>
        </is>
      </c>
      <c r="R19" s="5" t="inlineStr">
        <is>
          <t>Compliance + PM + Seguridad</t>
        </is>
      </c>
      <c r="S19" s="5" t="inlineStr">
        <is>
          <t>Revisiones previas de control</t>
        </is>
      </c>
      <c r="T19" s="5" t="inlineStr">
        <is>
          <t>Mitigar</t>
        </is>
      </c>
      <c r="U19" s="5" t="inlineStr">
        <is>
          <t>Auditoria preventiva, repositorio de evidencias, duenos por control y seguimiento de hallazgos</t>
        </is>
      </c>
      <c r="V19" s="5" t="inlineStr">
        <is>
          <t>Observaciones menores pendientes de cierre</t>
        </is>
      </c>
      <c r="W19" s="5" t="inlineStr">
        <is>
          <t>No</t>
        </is>
      </c>
      <c r="X19" s="5" t="inlineStr"/>
    </row>
    <row r="20">
      <c r="A20" s="5" t="inlineStr">
        <is>
          <t>R16</t>
        </is>
      </c>
      <c r="B20" s="5" t="inlineStr">
        <is>
          <t>Alta carga operativa durante la salida en vivo y estabilizacion</t>
        </is>
      </c>
      <c r="C20" s="5" t="inlineStr">
        <is>
          <t>Sobrecarga operativa post go-live</t>
        </is>
      </c>
      <c r="D20" s="5" t="inlineStr">
        <is>
          <t>Volumen alto de incidencias, soporte insuficiente y falta de runbooks</t>
        </is>
      </c>
      <c r="E20" s="5" t="inlineStr">
        <is>
          <t>2026-05-09</t>
        </is>
      </c>
      <c r="F20" s="5" t="inlineStr">
        <is>
          <t>Amenaza</t>
        </is>
      </c>
      <c r="G20" s="5" t="inlineStr">
        <is>
          <t>Operacional</t>
        </is>
      </c>
      <c r="H20" s="5" t="inlineStr">
        <is>
          <t>Estabilidad del servicio y atencion al cliente</t>
        </is>
      </c>
      <c r="I20" s="5" t="inlineStr">
        <is>
          <t>Directo</t>
        </is>
      </c>
      <c r="J20" s="6" t="n">
        <v>4</v>
      </c>
      <c r="K20" s="6" t="n">
        <v>3</v>
      </c>
      <c r="L20" s="6" t="n">
        <v>4</v>
      </c>
      <c r="M20" s="6" t="n">
        <v>3</v>
      </c>
      <c r="N20" s="6" t="n">
        <v>5</v>
      </c>
      <c r="O20" s="6">
        <f>J20*MAX(K20:N20)</f>
        <v/>
      </c>
      <c r="P20" s="7">
        <f>IF(O20&gt;=16,"Critica",IF(O20&gt;=12,"Alta",IF(O20&gt;=6,"Media","Baja")))</f>
        <v/>
      </c>
      <c r="Q20" s="5" t="inlineStr">
        <is>
          <t>Gerente de Operaciones</t>
        </is>
      </c>
      <c r="R20" s="5" t="inlineStr">
        <is>
          <t>Mesa de Ayuda + SRE + Soporte Apps</t>
        </is>
      </c>
      <c r="S20" s="5" t="inlineStr">
        <is>
          <t>Reforzar operacion de estabilizacion</t>
        </is>
      </c>
      <c r="T20" s="5" t="inlineStr">
        <is>
          <t>Mitigar</t>
        </is>
      </c>
      <c r="U20" s="5" t="inlineStr">
        <is>
          <t>War room 24/7, escalamiento definido, soporte ampliado, manuales y monitoreo intensivo</t>
        </is>
      </c>
      <c r="V20" s="5" t="inlineStr">
        <is>
          <t>Fatiga del equipo y tiempos de respuesta mayores</t>
        </is>
      </c>
      <c r="W20" s="5" t="inlineStr">
        <is>
          <t>No</t>
        </is>
      </c>
      <c r="X20" s="5" t="inlineStr"/>
    </row>
  </sheetData>
  <autoFilter ref="A4:X20"/>
  <mergeCells count="2">
    <mergeCell ref="A2:X2"/>
    <mergeCell ref="A1:X1"/>
  </mergeCells>
  <conditionalFormatting sqref="P5:P20">
    <cfRule type="cellIs" priority="1" operator="equal" dxfId="0">
      <formula>"Critica"</formula>
    </cfRule>
    <cfRule type="cellIs" priority="2" operator="equal" dxfId="1">
      <formula>"Alta"</formula>
    </cfRule>
    <cfRule type="cellIs" priority="3" operator="equal" dxfId="2">
      <formula>"Media"</formula>
    </cfRule>
    <cfRule type="cellIs" priority="4" operator="equal" dxfId="3">
      <formula>"Baja"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22" customWidth="1" min="5" max="5"/>
    <col width="28" customWidth="1" min="6" max="6"/>
  </cols>
  <sheetData>
    <row r="1">
      <c r="A1" s="1" t="inlineStr">
        <is>
          <t>Resumen del Registro de Riesgos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8" t="inlineStr">
        <is>
          <t>Proyecto</t>
        </is>
      </c>
      <c r="B3" s="2" t="inlineStr">
        <is>
          <t>Migracion y modernizacion de un Core Bancario</t>
        </is>
      </c>
      <c r="C3" s="2" t="n"/>
      <c r="D3" s="8" t="inlineStr">
        <is>
          <t>Metricas</t>
        </is>
      </c>
      <c r="E3" s="2" t="n"/>
      <c r="F3" s="2" t="n"/>
    </row>
    <row r="4">
      <c r="A4" s="8" t="inlineStr">
        <is>
          <t>Clientes activos</t>
        </is>
      </c>
      <c r="B4" s="2" t="inlineStr">
        <is>
          <t>500,000</t>
        </is>
      </c>
      <c r="C4" s="2" t="n"/>
      <c r="D4" s="9" t="inlineStr">
        <is>
          <t>Total riesgos</t>
        </is>
      </c>
      <c r="E4" s="2">
        <f>COUNTA('Registro de Riesgos'!A5:A20)</f>
        <v/>
      </c>
      <c r="F4" s="2" t="n"/>
    </row>
    <row r="5">
      <c r="A5" s="8" t="inlineStr">
        <is>
          <t>Inactividad maxima</t>
        </is>
      </c>
      <c r="B5" s="2" t="inlineStr">
        <is>
          <t>30 minutos</t>
        </is>
      </c>
      <c r="C5" s="2" t="n"/>
      <c r="D5" s="9" t="inlineStr">
        <is>
          <t>Critica</t>
        </is>
      </c>
      <c r="E5" s="2">
        <f>COUNTIF('Registro de Riesgos'!P5:P20,"Critica")</f>
        <v/>
      </c>
      <c r="F5" s="2" t="n"/>
    </row>
    <row r="6">
      <c r="A6" s="8" t="inlineStr">
        <is>
          <t>Plazo objetivo</t>
        </is>
      </c>
      <c r="B6" s="2" t="inlineStr">
        <is>
          <t>8 meses</t>
        </is>
      </c>
      <c r="C6" s="2" t="n"/>
      <c r="D6" s="9" t="inlineStr">
        <is>
          <t>Alta</t>
        </is>
      </c>
      <c r="E6" s="2">
        <f>COUNTIF('Registro de Riesgos'!P5:P20,"Alta")</f>
        <v/>
      </c>
      <c r="F6" s="2" t="n"/>
    </row>
    <row r="7">
      <c r="A7" s="8" t="inlineStr">
        <is>
          <t>Fecha de elaboracion</t>
        </is>
      </c>
      <c r="B7" s="2" t="inlineStr">
        <is>
          <t>2026-05-09</t>
        </is>
      </c>
      <c r="C7" s="2" t="n"/>
      <c r="D7" s="9" t="inlineStr">
        <is>
          <t>Media</t>
        </is>
      </c>
      <c r="E7" s="2">
        <f>COUNTIF('Registro de Riesgos'!P5:P20,"Media")</f>
        <v/>
      </c>
      <c r="F7" s="2" t="n"/>
    </row>
    <row r="8">
      <c r="A8" s="2" t="n"/>
      <c r="B8" s="2" t="n"/>
      <c r="C8" s="2" t="n"/>
      <c r="D8" s="9" t="inlineStr">
        <is>
          <t>Baja</t>
        </is>
      </c>
      <c r="E8" s="2">
        <f>COUNTIF('Registro de Riesgos'!P5:P20,"Baja")</f>
        <v/>
      </c>
      <c r="F8" s="2" t="n"/>
    </row>
    <row r="9">
      <c r="A9" s="2" t="n"/>
      <c r="B9" s="2" t="n"/>
      <c r="C9" s="2" t="n"/>
      <c r="D9" s="9" t="inlineStr">
        <is>
          <t>Riesgos activos</t>
        </is>
      </c>
      <c r="E9" s="2">
        <f>COUNTIF('Registro de Riesgos'!W5:W20,"Si")</f>
        <v/>
      </c>
      <c r="F9" s="2" t="n"/>
    </row>
    <row r="10">
      <c r="A10" s="9" t="inlineStr">
        <is>
          <t>Escala de valoracion</t>
        </is>
      </c>
      <c r="B10" s="2" t="n"/>
      <c r="C10" s="2" t="n"/>
      <c r="D10" s="2" t="n"/>
      <c r="E10" s="2" t="n"/>
      <c r="F10" s="2" t="n"/>
    </row>
    <row r="11">
      <c r="A11" s="10" t="inlineStr">
        <is>
          <t>Valoracion global = Probabilidad x mayor impacto entre alcance, tiempo, costo y calidad.</t>
        </is>
      </c>
      <c r="B11" s="2" t="n"/>
      <c r="C11" s="2" t="n"/>
      <c r="D11" s="2" t="n"/>
      <c r="E11" s="2" t="n"/>
      <c r="F11" s="2" t="n"/>
    </row>
    <row r="12">
      <c r="A12" s="10" t="inlineStr">
        <is>
          <t>Prioridades: Critica &gt;=16, Alta 12-15, Media 6-11, Baja 1-5.</t>
        </is>
      </c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9" t="inlineStr">
        <is>
          <t>Riesgos mas prioritarios</t>
        </is>
      </c>
      <c r="B14" s="2" t="n"/>
      <c r="C14" s="2" t="n"/>
      <c r="D14" s="2" t="n"/>
      <c r="E14" s="2" t="n"/>
      <c r="F14" s="2" t="n"/>
    </row>
    <row r="15">
      <c r="A15" s="11" t="inlineStr">
        <is>
          <t>ID</t>
        </is>
      </c>
      <c r="B15" s="11" t="inlineStr">
        <is>
          <t>Riesgo</t>
        </is>
      </c>
      <c r="C15" s="11" t="inlineStr">
        <is>
          <t>Prioridad</t>
        </is>
      </c>
      <c r="D15" s="11" t="inlineStr">
        <is>
          <t>Valoracion</t>
        </is>
      </c>
      <c r="E15" s="11" t="inlineStr">
        <is>
          <t>Dueno</t>
        </is>
      </c>
      <c r="F15" s="11" t="inlineStr">
        <is>
          <t>Responsable</t>
        </is>
      </c>
    </row>
    <row r="16">
      <c r="A16" s="5" t="inlineStr">
        <is>
          <t>R1</t>
        </is>
      </c>
      <c r="B16" s="5" t="inlineStr">
        <is>
          <t>Interrupcion del servicio superior a 30 minutos durante el cutover</t>
        </is>
      </c>
      <c r="C16" s="5" t="inlineStr">
        <is>
          <t>Critica</t>
        </is>
      </c>
      <c r="D16" s="5" t="n">
        <v>20</v>
      </c>
      <c r="E16" s="5" t="inlineStr">
        <is>
          <t>Lider de Migracion</t>
        </is>
      </c>
      <c r="F16" s="5" t="inlineStr">
        <is>
          <t>Operaciones + Infraestructura</t>
        </is>
      </c>
    </row>
    <row r="17">
      <c r="A17" s="5" t="inlineStr">
        <is>
          <t>R4</t>
        </is>
      </c>
      <c r="B17" s="5" t="inlineStr">
        <is>
          <t>Bajo desempeno del nuevo core en produccion</t>
        </is>
      </c>
      <c r="C17" s="5" t="inlineStr">
        <is>
          <t>Critica</t>
        </is>
      </c>
      <c r="D17" s="5" t="n">
        <v>20</v>
      </c>
      <c r="E17" s="5" t="inlineStr">
        <is>
          <t>Arquitecto de Solucion</t>
        </is>
      </c>
      <c r="F17" s="5" t="inlineStr">
        <is>
          <t>SRE / DevOps / Arquitectura</t>
        </is>
      </c>
    </row>
    <row r="18">
      <c r="A18" s="5" t="inlineStr">
        <is>
          <t>R5</t>
        </is>
      </c>
      <c r="B18" s="5" t="inlineStr">
        <is>
          <t>Fallas en integraciones con sistemas internos y externos</t>
        </is>
      </c>
      <c r="C18" s="5" t="inlineStr">
        <is>
          <t>Critica</t>
        </is>
      </c>
      <c r="D18" s="5" t="n">
        <v>20</v>
      </c>
      <c r="E18" s="5" t="inlineStr">
        <is>
          <t>Lider de Integraciones</t>
        </is>
      </c>
      <c r="F18" s="5" t="inlineStr">
        <is>
          <t>Equipos de Canales / Middleware</t>
        </is>
      </c>
    </row>
    <row r="19">
      <c r="A19" s="5" t="inlineStr">
        <is>
          <t>R7</t>
        </is>
      </c>
      <c r="B19" s="5" t="inlineStr">
        <is>
          <t>Retraso del cronograma por complejidad no prevista</t>
        </is>
      </c>
      <c r="C19" s="5" t="inlineStr">
        <is>
          <t>Critica</t>
        </is>
      </c>
      <c r="D19" s="5" t="n">
        <v>20</v>
      </c>
      <c r="E19" s="5" t="inlineStr">
        <is>
          <t>Project Manager</t>
        </is>
      </c>
      <c r="F19" s="5" t="inlineStr">
        <is>
          <t>PMO + Arquitectura + Lideres Tecnicos</t>
        </is>
      </c>
    </row>
    <row r="20">
      <c r="A20" s="5" t="inlineStr">
        <is>
          <t>R13</t>
        </is>
      </c>
      <c r="B20" s="5" t="inlineStr">
        <is>
          <t>Ambientes de prueba no representativos</t>
        </is>
      </c>
      <c r="C20" s="5" t="inlineStr">
        <is>
          <t>Critica</t>
        </is>
      </c>
      <c r="D20" s="5" t="n">
        <v>20</v>
      </c>
      <c r="E20" s="5" t="inlineStr">
        <is>
          <t>QA Lead</t>
        </is>
      </c>
      <c r="F20" s="5" t="inlineStr">
        <is>
          <t>QA + Infraestructura + Arquitectura</t>
        </is>
      </c>
    </row>
  </sheetData>
  <mergeCells count="3">
    <mergeCell ref="A11:F11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2026-05-09T00:13:32Z</dcterms:created>
  <dcterms:modified xsi:type="dcterms:W3CDTF">2026-05-09T00:13:32Z</dcterms:modified>
</cp:coreProperties>
</file>